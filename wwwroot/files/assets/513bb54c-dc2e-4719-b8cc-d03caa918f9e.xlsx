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\\nh-fs-01.newhospitals.local\UserProfiles$\g.robakidze\Desktop\"/>
    </mc:Choice>
  </mc:AlternateContent>
  <xr:revisionPtr revIDLastSave="0" documentId="13_ncr:1_{78FA4293-26F0-442A-8E94-F54F8CD8BC7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1" l="1"/>
  <c r="E14" i="1"/>
  <c r="E11" i="1"/>
  <c r="E12" i="1"/>
  <c r="D11" i="1"/>
  <c r="E10" i="1"/>
  <c r="E5" i="1"/>
  <c r="D5" i="1"/>
  <c r="E4" i="1"/>
  <c r="E6" i="1"/>
  <c r="E7" i="1"/>
  <c r="E8" i="1"/>
  <c r="E9" i="1"/>
  <c r="E3" i="1"/>
  <c r="D3" i="1"/>
</calcChain>
</file>

<file path=xl/sharedStrings.xml><?xml version="1.0" encoding="utf-8"?>
<sst xmlns="http://schemas.openxmlformats.org/spreadsheetml/2006/main" count="17" uniqueCount="17">
  <si>
    <t>მილი ცხელი წყლის Firat Ø20х4 მმ</t>
  </si>
  <si>
    <t>დასახელება</t>
  </si>
  <si>
    <t>ერთეულის ფასი</t>
  </si>
  <si>
    <t>სულ ღირებულება</t>
  </si>
  <si>
    <t>საჭირო რაოდენობა</t>
  </si>
  <si>
    <t>მილის სამაგრი Firat PP-R Ø20 მმ</t>
  </si>
  <si>
    <t>მუხლი Firat PP-R Ø20-90°</t>
  </si>
  <si>
    <t>მუხლი Firat PP-R Ø20-45°</t>
  </si>
  <si>
    <t>გადამყვანი სამკაპი Vesbo PPR Ø20 მმ</t>
  </si>
  <si>
    <t>ვენტილი ბურთულიანი PPR Ø20 მმ</t>
  </si>
  <si>
    <t>მუფტა PPR Ø20 მმ</t>
  </si>
  <si>
    <t>მუფტა PPR Ø25 მმ</t>
  </si>
  <si>
    <t>მუფტა ქანჩით ამერიკანკა გ.ხ. PPR Ø20 მმ 1/2"</t>
  </si>
  <si>
    <t>თუ 4 კაპი  არ არის დამატებით სამკაპი</t>
  </si>
  <si>
    <t>სამკაპი გაზის და 4 ხამუთი გაზის მილის</t>
  </si>
  <si>
    <t/>
  </si>
  <si>
    <t>2 ცალი გამაცხელებლის მილი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</si>
</sst>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0" fontId="0" fillId="0" borderId="0" xfId="0" quotePrefix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6"/>
  <sheetViews>
    <sheetView tabSelected="1" workbookViewId="0">
      <selection activeCell="B11" sqref="B11"/>
    </sheetView>
  </sheetViews>
  <sheetFormatPr defaultRowHeight="15" x14ac:dyDescent="0.25"/>
  <cols>
    <col min="2" max="2" width="44.85546875" customWidth="1"/>
    <col min="3" max="3" width="21.42578125" style="1" customWidth="1"/>
    <col min="4" max="4" width="22" customWidth="1"/>
  </cols>
  <sheetData>
    <row r="2" spans="2:5" x14ac:dyDescent="0.25">
      <c r="B2" t="s">
        <v>1</v>
      </c>
      <c r="C2" s="1" t="s">
        <v>2</v>
      </c>
      <c r="D2" t="s">
        <v>4</v>
      </c>
      <c r="E2" t="s">
        <v>3</v>
      </c>
    </row>
    <row r="3" spans="2:5" x14ac:dyDescent="0.25">
      <c r="B3" t="s">
        <v>0</v>
      </c>
      <c r="C3" s="1">
        <v>10.8</v>
      </c>
      <c r="D3">
        <f>65/4</f>
        <v>16.25</v>
      </c>
      <c r="E3">
        <f>C3*D3</f>
        <v>175.5</v>
      </c>
    </row>
    <row r="4" spans="2:5" x14ac:dyDescent="0.25">
      <c r="B4" t="s">
        <v>5</v>
      </c>
      <c r="C4" s="1">
        <v>0.45</v>
      </c>
      <c r="D4">
        <v>6</v>
      </c>
      <c r="E4">
        <f t="shared" ref="E4:E10" si="0">C4*D4</f>
        <v>2.7</v>
      </c>
    </row>
    <row r="5" spans="2:5" x14ac:dyDescent="0.25">
      <c r="B5" s="1" t="s">
        <v>6</v>
      </c>
      <c r="C5" s="1">
        <v>0.35</v>
      </c>
      <c r="D5">
        <f>4+4+15</f>
        <v>23</v>
      </c>
      <c r="E5">
        <f t="shared" si="0"/>
        <v>8.0499999999999989</v>
      </c>
    </row>
    <row r="6" spans="2:5" x14ac:dyDescent="0.25">
      <c r="B6" t="s">
        <v>7</v>
      </c>
      <c r="C6" s="1">
        <v>0.6</v>
      </c>
      <c r="D6">
        <v>2</v>
      </c>
      <c r="E6">
        <f t="shared" si="0"/>
        <v>1.2</v>
      </c>
    </row>
    <row r="7" spans="2:5" x14ac:dyDescent="0.25">
      <c r="B7" t="s">
        <v>8</v>
      </c>
      <c r="C7" s="1">
        <v>0.6</v>
      </c>
      <c r="D7">
        <v>2</v>
      </c>
      <c r="E7">
        <f t="shared" si="0"/>
        <v>1.2</v>
      </c>
    </row>
    <row r="8" spans="2:5" x14ac:dyDescent="0.25">
      <c r="B8" t="s">
        <v>9</v>
      </c>
      <c r="C8" s="1">
        <v>10.5</v>
      </c>
      <c r="D8">
        <v>1</v>
      </c>
      <c r="E8">
        <f t="shared" si="0"/>
        <v>10.5</v>
      </c>
    </row>
    <row r="9" spans="2:5" x14ac:dyDescent="0.25">
      <c r="B9" t="s">
        <v>10</v>
      </c>
      <c r="C9" s="1">
        <v>0.3</v>
      </c>
      <c r="D9">
        <v>2</v>
      </c>
      <c r="E9">
        <f t="shared" si="0"/>
        <v>0.6</v>
      </c>
    </row>
    <row r="10" spans="2:5" x14ac:dyDescent="0.25">
      <c r="B10" t="s">
        <v>11</v>
      </c>
      <c r="C10" s="1">
        <v>0.3</v>
      </c>
      <c r="D10">
        <v>1</v>
      </c>
      <c r="E10">
        <f t="shared" ref="E10:E11" si="1">C10*D10</f>
        <v>0.3</v>
      </c>
    </row>
    <row r="11" spans="2:5" x14ac:dyDescent="0.25">
      <c r="B11" t="s">
        <v>12</v>
      </c>
      <c r="C11" s="1">
        <v>3.6</v>
      </c>
      <c r="D11">
        <f>3+2</f>
        <v>5</v>
      </c>
      <c r="E11">
        <f t="shared" si="1"/>
        <v>18</v>
      </c>
    </row>
    <row r="12" spans="2:5" x14ac:dyDescent="0.25">
      <c r="B12" t="s">
        <v>13</v>
      </c>
      <c r="C12" s="1">
        <v>0.6</v>
      </c>
      <c r="D12">
        <v>4</v>
      </c>
      <c r="E12">
        <f t="shared" ref="E12" si="2">C12*D12</f>
        <v>2.4</v>
      </c>
    </row>
    <row r="13" spans="2:5" x14ac:dyDescent="0.25">
      <c r="B13" t="s">
        <v>14</v>
      </c>
      <c r="E13">
        <v>5</v>
      </c>
    </row>
    <row r="14" spans="2:5" x14ac:dyDescent="0.25">
      <c r="B14" t="s">
        <v>16</v>
      </c>
      <c r="C14" s="1">
        <v>4</v>
      </c>
      <c r="D14">
        <v>2</v>
      </c>
      <c r="E14">
        <f t="shared" ref="E14" si="3">C14*D14</f>
        <v>8</v>
      </c>
    </row>
    <row r="15" spans="2:5" x14ac:dyDescent="0.25">
      <c r="B15" s="2" t="s">
        <v>15</v>
      </c>
    </row>
    <row r="16" spans="2:5" x14ac:dyDescent="0.25">
      <c r="E16">
        <f>SUM(E3:E14)</f>
        <v>233.45</v>
      </c>
    </row>
  </sheetData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 Robaqidze</dc:creator>
  <cp:lastModifiedBy>Giorgi Robaqidze</cp:lastModifiedBy>
  <dcterms:created xsi:type="dcterms:W3CDTF">2015-06-05T18:17:20Z</dcterms:created>
  <dcterms:modified xsi:type="dcterms:W3CDTF">2025-08-02T08:22:36Z</dcterms:modified>
</cp:coreProperties>
</file>